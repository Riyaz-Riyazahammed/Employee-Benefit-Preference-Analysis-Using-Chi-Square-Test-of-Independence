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ion\Desktop\learning\Work Force Analysis\"/>
    </mc:Choice>
  </mc:AlternateContent>
  <xr:revisionPtr revIDLastSave="0" documentId="8_{07A73237-B9A3-4A7A-A52A-5C096439AC35}" xr6:coauthVersionLast="47" xr6:coauthVersionMax="47" xr10:uidLastSave="{00000000-0000-0000-0000-000000000000}"/>
  <bookViews>
    <workbookView xWindow="-120" yWindow="-120" windowWidth="24240" windowHeight="13140" xr2:uid="{18C018CC-A74D-4189-AD01-5774432D2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K12" i="1"/>
  <c r="B14" i="1"/>
  <c r="B15" i="1"/>
  <c r="C14" i="1"/>
  <c r="D14" i="1"/>
  <c r="E14" i="1"/>
  <c r="F14" i="1"/>
  <c r="C15" i="1"/>
  <c r="D15" i="1"/>
  <c r="E15" i="1"/>
  <c r="F15" i="1"/>
  <c r="D13" i="1"/>
  <c r="E13" i="1"/>
  <c r="F13" i="1"/>
  <c r="C13" i="1"/>
  <c r="B13" i="1"/>
  <c r="G7" i="1"/>
  <c r="C7" i="1"/>
  <c r="D7" i="1"/>
  <c r="E7" i="1"/>
  <c r="F7" i="1"/>
  <c r="B7" i="1"/>
  <c r="G5" i="1"/>
  <c r="G6" i="1"/>
  <c r="G4" i="1"/>
</calcChain>
</file>

<file path=xl/sharedStrings.xml><?xml version="1.0" encoding="utf-8"?>
<sst xmlns="http://schemas.openxmlformats.org/spreadsheetml/2006/main" count="29" uniqueCount="18">
  <si>
    <t>Paid time off</t>
  </si>
  <si>
    <t>Pension</t>
  </si>
  <si>
    <t>Holiday bonus</t>
  </si>
  <si>
    <t>Healthcare plan</t>
  </si>
  <si>
    <t>Other</t>
  </si>
  <si>
    <t>Expectations</t>
  </si>
  <si>
    <t>Sum</t>
  </si>
  <si>
    <t>p</t>
  </si>
  <si>
    <t>Observations (Data)</t>
  </si>
  <si>
    <t>Equations</t>
  </si>
  <si>
    <t>Chi square (χ2)</t>
  </si>
  <si>
    <t>PREFERRED BENEFIT TYPE</t>
  </si>
  <si>
    <t>Calculations</t>
  </si>
  <si>
    <t>&lt;30</t>
  </si>
  <si>
    <t>30-40</t>
  </si>
  <si>
    <t>&gt;50</t>
  </si>
  <si>
    <t>AGE GROUP</t>
  </si>
  <si>
    <r>
      <t>Degrees of freedom (</t>
    </r>
    <r>
      <rPr>
        <i/>
        <sz val="10"/>
        <color theme="1"/>
        <rFont val="Calibri"/>
        <family val="2"/>
      </rPr>
      <t>df</t>
    </r>
    <r>
      <rPr>
        <sz val="10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</si>
</sst>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0.000000"/>
    <numFmt numFmtId="166" formatCode="0.0%"/>
    <numFmt numFmtId="167" formatCode="0.000"/>
    <numFmt numFmtId="168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rgb="FF31216B"/>
      <name val="Calibri"/>
      <family val="2"/>
    </font>
    <font>
      <b/>
      <sz val="10"/>
      <color rgb="FF31216B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  <font>
      <b/>
      <u/>
      <sz val="8"/>
      <name val="Calibri"/>
      <family val="2"/>
    </font>
    <font>
      <b/>
      <i/>
      <sz val="8"/>
      <name val="Calibri"/>
      <family val="2"/>
    </font>
    <font>
      <b/>
      <sz val="8"/>
      <color rgb="FF31216B"/>
      <name val="Calibri"/>
      <family val="2"/>
    </font>
    <font>
      <b/>
      <i/>
      <sz val="8"/>
      <color rgb="FF31216B"/>
      <name val="Calibri"/>
      <family val="2"/>
    </font>
    <font>
      <b/>
      <u/>
      <sz val="8"/>
      <color rgb="FF31216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31216B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2" fontId="3" fillId="0" borderId="0" xfId="0" applyNumberFormat="1" applyFont="1"/>
    <xf numFmtId="0" fontId="3" fillId="0" borderId="0" xfId="0" quotePrefix="1" applyFont="1"/>
    <xf numFmtId="0" fontId="4" fillId="0" borderId="0" xfId="0" quotePrefix="1" applyFont="1"/>
    <xf numFmtId="168" fontId="3" fillId="0" borderId="0" xfId="0" applyNumberFormat="1" applyFont="1"/>
    <xf numFmtId="168" fontId="2" fillId="0" borderId="0" xfId="0" applyNumberFormat="1" applyFont="1"/>
    <xf numFmtId="168" fontId="2" fillId="0" borderId="0" xfId="0" applyNumberFormat="1" applyFont="1" applyAlignment="1">
      <alignment wrapText="1"/>
    </xf>
    <xf numFmtId="165" fontId="3" fillId="0" borderId="0" xfId="2" applyNumberFormat="1" applyFont="1"/>
    <xf numFmtId="168" fontId="3" fillId="0" borderId="0" xfId="0" applyNumberFormat="1" applyFont="1" applyAlignment="1">
      <alignment horizontal="center" wrapText="1"/>
    </xf>
    <xf numFmtId="10" fontId="3" fillId="0" borderId="0" xfId="2" applyNumberFormat="1" applyFont="1"/>
    <xf numFmtId="2" fontId="3" fillId="0" borderId="0" xfId="2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7" fontId="3" fillId="0" borderId="0" xfId="0" applyNumberFormat="1" applyFont="1"/>
    <xf numFmtId="166" fontId="3" fillId="0" borderId="0" xfId="2" applyNumberFormat="1" applyFont="1"/>
    <xf numFmtId="0" fontId="3" fillId="0" borderId="0" xfId="1" applyNumberFormat="1" applyFont="1"/>
    <xf numFmtId="0" fontId="3" fillId="0" borderId="0" xfId="2" applyNumberFormat="1" applyFont="1"/>
    <xf numFmtId="0" fontId="6" fillId="0" borderId="0" xfId="0" applyFont="1" applyAlignment="1">
      <alignment horizontal="center" wrapText="1"/>
    </xf>
    <xf numFmtId="0" fontId="7" fillId="0" borderId="1" xfId="0" applyFont="1" applyBorder="1"/>
    <xf numFmtId="0" fontId="7" fillId="0" borderId="0" xfId="0" applyFont="1"/>
    <xf numFmtId="0" fontId="6" fillId="0" borderId="0" xfId="0" applyFont="1"/>
    <xf numFmtId="0" fontId="5" fillId="2" borderId="0" xfId="0" applyFont="1" applyFill="1" applyBorder="1"/>
    <xf numFmtId="0" fontId="3" fillId="2" borderId="0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>
      <alignment wrapText="1"/>
    </xf>
    <xf numFmtId="0" fontId="9" fillId="2" borderId="2" xfId="0" applyFont="1" applyFill="1" applyBorder="1"/>
    <xf numFmtId="0" fontId="8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wrapText="1"/>
    </xf>
    <xf numFmtId="0" fontId="5" fillId="2" borderId="2" xfId="0" applyFont="1" applyFill="1" applyBorder="1"/>
    <xf numFmtId="0" fontId="3" fillId="2" borderId="2" xfId="0" applyFont="1" applyFill="1" applyBorder="1"/>
    <xf numFmtId="0" fontId="7" fillId="2" borderId="2" xfId="0" applyFont="1" applyFill="1" applyBorder="1"/>
    <xf numFmtId="0" fontId="6" fillId="2" borderId="2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0" borderId="0" xfId="0" applyFon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4" fillId="2" borderId="2" xfId="0" quotePrefix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EBBF0"/>
      <color rgb="FF31216B"/>
      <color rgb="FFCACFE6"/>
      <color rgb="FF5D5CFF"/>
      <color rgb="FFB0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</xdr:row>
      <xdr:rowOff>6350</xdr:rowOff>
    </xdr:from>
    <xdr:to>
      <xdr:col>10</xdr:col>
      <xdr:colOff>723900</xdr:colOff>
      <xdr:row>5</xdr:row>
      <xdr:rowOff>16786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0A57E2-74A5-E52B-C0F0-2A44B2AEA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23" t="30926" r="23611" b="47593"/>
        <a:stretch/>
      </xdr:blipFill>
      <xdr:spPr>
        <a:xfrm>
          <a:off x="5937250" y="184150"/>
          <a:ext cx="2133600" cy="7366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9</xdr:col>
      <xdr:colOff>12700</xdr:colOff>
      <xdr:row>5</xdr:row>
      <xdr:rowOff>69850</xdr:rowOff>
    </xdr:from>
    <xdr:to>
      <xdr:col>10</xdr:col>
      <xdr:colOff>860425</xdr:colOff>
      <xdr:row>7</xdr:row>
      <xdr:rowOff>135304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DD0FA8-A853-0F56-EA53-FA1005778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4700" y="984250"/>
          <a:ext cx="2438400" cy="43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CE29-9A81-4178-8FF0-12E61FC081BD}">
  <dimension ref="A1:Q61"/>
  <sheetViews>
    <sheetView showGridLines="0" tabSelected="1" zoomScale="130" zoomScaleNormal="130" workbookViewId="0">
      <selection activeCell="O8" sqref="O8"/>
    </sheetView>
  </sheetViews>
  <sheetFormatPr defaultColWidth="8.85546875" defaultRowHeight="12.75" x14ac:dyDescent="0.2"/>
  <cols>
    <col min="1" max="1" width="10.7109375" style="2" customWidth="1"/>
    <col min="2" max="2" width="11.85546875" style="2" customWidth="1"/>
    <col min="3" max="3" width="8" style="2" customWidth="1"/>
    <col min="4" max="4" width="10.85546875" style="2" customWidth="1"/>
    <col min="5" max="5" width="11.28515625" style="2" customWidth="1"/>
    <col min="6" max="6" width="7.140625" style="2" customWidth="1"/>
    <col min="7" max="7" width="8.85546875" style="2"/>
    <col min="8" max="8" width="3.28515625" style="2" customWidth="1"/>
    <col min="9" max="9" width="4.7109375" style="2" customWidth="1"/>
    <col min="10" max="10" width="19.85546875" style="2" customWidth="1"/>
    <col min="11" max="11" width="14.28515625" style="2" customWidth="1"/>
    <col min="12" max="12" width="5.85546875" style="2" customWidth="1"/>
    <col min="13" max="16" width="8.85546875" style="2"/>
    <col min="17" max="17" width="11.85546875" style="2" bestFit="1" customWidth="1"/>
    <col min="18" max="16384" width="8.85546875" style="2"/>
  </cols>
  <sheetData>
    <row r="1" spans="1:17" x14ac:dyDescent="0.2">
      <c r="A1" s="24" t="s">
        <v>8</v>
      </c>
      <c r="B1" s="25"/>
      <c r="C1" s="25"/>
      <c r="D1" s="25"/>
      <c r="E1" s="25"/>
      <c r="F1" s="25"/>
      <c r="G1" s="25"/>
      <c r="I1" s="47" t="s">
        <v>9</v>
      </c>
      <c r="J1" s="48"/>
      <c r="K1" s="48"/>
      <c r="L1" s="49"/>
    </row>
    <row r="2" spans="1:17" x14ac:dyDescent="0.2">
      <c r="A2" s="31" t="s">
        <v>16</v>
      </c>
      <c r="B2" s="33" t="s">
        <v>11</v>
      </c>
      <c r="C2" s="33"/>
      <c r="D2" s="33"/>
      <c r="E2" s="33"/>
      <c r="F2" s="33"/>
      <c r="G2" s="26"/>
      <c r="I2" s="50"/>
      <c r="J2" s="25"/>
      <c r="K2" s="25"/>
      <c r="L2" s="51"/>
    </row>
    <row r="3" spans="1:17" x14ac:dyDescent="0.2">
      <c r="A3" s="32"/>
      <c r="B3" s="34" t="s">
        <v>3</v>
      </c>
      <c r="C3" s="34" t="s">
        <v>1</v>
      </c>
      <c r="D3" s="34" t="s">
        <v>0</v>
      </c>
      <c r="E3" s="34" t="s">
        <v>2</v>
      </c>
      <c r="F3" s="34" t="s">
        <v>4</v>
      </c>
      <c r="G3" s="27" t="s">
        <v>6</v>
      </c>
      <c r="H3" s="3"/>
      <c r="I3" s="50"/>
      <c r="J3" s="25"/>
      <c r="K3" s="25"/>
      <c r="L3" s="51"/>
    </row>
    <row r="4" spans="1:17" x14ac:dyDescent="0.2">
      <c r="A4" s="28" t="s">
        <v>13</v>
      </c>
      <c r="B4" s="29">
        <v>55</v>
      </c>
      <c r="C4" s="29">
        <v>7</v>
      </c>
      <c r="D4" s="29">
        <v>35</v>
      </c>
      <c r="E4" s="29">
        <v>76</v>
      </c>
      <c r="F4" s="29">
        <v>71</v>
      </c>
      <c r="G4" s="26">
        <f>SUM(B4:F4)</f>
        <v>244</v>
      </c>
      <c r="H4" s="4"/>
      <c r="I4" s="50"/>
      <c r="J4" s="25"/>
      <c r="K4" s="25"/>
      <c r="L4" s="51"/>
    </row>
    <row r="5" spans="1:17" x14ac:dyDescent="0.2">
      <c r="A5" s="28" t="s">
        <v>14</v>
      </c>
      <c r="B5" s="29">
        <v>40</v>
      </c>
      <c r="C5" s="29">
        <v>13</v>
      </c>
      <c r="D5" s="29">
        <v>19</v>
      </c>
      <c r="E5" s="29">
        <v>29</v>
      </c>
      <c r="F5" s="29">
        <v>46</v>
      </c>
      <c r="G5" s="26">
        <f t="shared" ref="G5:G6" si="0">SUM(B5:F5)</f>
        <v>147</v>
      </c>
      <c r="H5" s="4"/>
      <c r="I5" s="50"/>
      <c r="J5" s="25"/>
      <c r="K5" s="25"/>
      <c r="L5" s="51"/>
    </row>
    <row r="6" spans="1:17" x14ac:dyDescent="0.2">
      <c r="A6" s="28" t="s">
        <v>15</v>
      </c>
      <c r="B6" s="29">
        <v>49</v>
      </c>
      <c r="C6" s="29">
        <v>19</v>
      </c>
      <c r="D6" s="29">
        <v>11</v>
      </c>
      <c r="E6" s="29">
        <v>18</v>
      </c>
      <c r="F6" s="29">
        <v>34</v>
      </c>
      <c r="G6" s="26">
        <f t="shared" si="0"/>
        <v>131</v>
      </c>
      <c r="H6" s="4"/>
      <c r="I6" s="50"/>
      <c r="J6" s="25"/>
      <c r="K6" s="25"/>
      <c r="L6" s="51"/>
    </row>
    <row r="7" spans="1:17" x14ac:dyDescent="0.2">
      <c r="A7" s="28" t="s">
        <v>6</v>
      </c>
      <c r="B7" s="30">
        <f>SUM(B4:B6)</f>
        <v>144</v>
      </c>
      <c r="C7" s="30">
        <f t="shared" ref="C7:F7" si="1">SUM(C4:C6)</f>
        <v>39</v>
      </c>
      <c r="D7" s="30">
        <f t="shared" si="1"/>
        <v>65</v>
      </c>
      <c r="E7" s="30">
        <f t="shared" si="1"/>
        <v>123</v>
      </c>
      <c r="F7" s="30">
        <f t="shared" si="1"/>
        <v>151</v>
      </c>
      <c r="G7" s="28">
        <f>SUM(G4:G6)</f>
        <v>522</v>
      </c>
      <c r="H7" s="5"/>
      <c r="I7" s="50"/>
      <c r="J7" s="25"/>
      <c r="K7" s="25"/>
      <c r="L7" s="51"/>
    </row>
    <row r="8" spans="1:17" x14ac:dyDescent="0.2">
      <c r="A8" s="22"/>
      <c r="B8" s="23"/>
      <c r="C8" s="23"/>
      <c r="D8" s="23"/>
      <c r="E8" s="23"/>
      <c r="F8" s="23"/>
      <c r="G8" s="22"/>
      <c r="H8" s="5"/>
      <c r="I8" s="52"/>
      <c r="J8" s="53"/>
      <c r="K8" s="53"/>
      <c r="L8" s="54"/>
    </row>
    <row r="9" spans="1:17" x14ac:dyDescent="0.2">
      <c r="A9" s="1"/>
      <c r="G9" s="1"/>
      <c r="H9" s="5"/>
    </row>
    <row r="10" spans="1:17" x14ac:dyDescent="0.2">
      <c r="A10" s="35" t="s">
        <v>5</v>
      </c>
      <c r="B10" s="43"/>
      <c r="C10" s="44"/>
      <c r="D10" s="44"/>
      <c r="E10" s="44"/>
      <c r="F10" s="45"/>
      <c r="H10" s="5"/>
      <c r="I10" s="47" t="s">
        <v>12</v>
      </c>
      <c r="J10" s="48"/>
      <c r="K10" s="48"/>
      <c r="L10" s="49"/>
    </row>
    <row r="11" spans="1:17" x14ac:dyDescent="0.2">
      <c r="A11" s="41" t="s">
        <v>16</v>
      </c>
      <c r="B11" s="39" t="s">
        <v>11</v>
      </c>
      <c r="C11" s="39"/>
      <c r="D11" s="39"/>
      <c r="E11" s="39"/>
      <c r="F11" s="39"/>
      <c r="G11" s="1"/>
      <c r="H11" s="5"/>
      <c r="I11" s="50"/>
      <c r="J11" s="25"/>
      <c r="K11" s="25"/>
      <c r="L11" s="51"/>
      <c r="Q11" s="4"/>
    </row>
    <row r="12" spans="1:17" x14ac:dyDescent="0.2">
      <c r="A12" s="42"/>
      <c r="B12" s="40" t="s">
        <v>3</v>
      </c>
      <c r="C12" s="40" t="s">
        <v>1</v>
      </c>
      <c r="D12" s="40" t="s">
        <v>0</v>
      </c>
      <c r="E12" s="40" t="s">
        <v>2</v>
      </c>
      <c r="F12" s="40" t="s">
        <v>4</v>
      </c>
      <c r="H12" s="6"/>
      <c r="I12" s="50"/>
      <c r="J12" s="55" t="s">
        <v>7</v>
      </c>
      <c r="K12" s="36">
        <f>_xlfn.CHISQ.TEST(B4:F6,B13:F15)</f>
        <v>6.9729557242898546E-6</v>
      </c>
      <c r="L12" s="51"/>
    </row>
    <row r="13" spans="1:17" x14ac:dyDescent="0.2">
      <c r="A13" s="37" t="s">
        <v>13</v>
      </c>
      <c r="B13" s="38">
        <f>B$7*$G4/$G$7</f>
        <v>67.310344827586206</v>
      </c>
      <c r="C13" s="38">
        <f>C$7*$G4/$G$7</f>
        <v>18.229885057471265</v>
      </c>
      <c r="D13" s="38">
        <f t="shared" ref="D13:F13" si="2">D$7*$G4/$G$7</f>
        <v>30.383141762452109</v>
      </c>
      <c r="E13" s="38">
        <f t="shared" si="2"/>
        <v>57.494252873563219</v>
      </c>
      <c r="F13" s="38">
        <f t="shared" si="2"/>
        <v>70.582375478927204</v>
      </c>
      <c r="I13" s="50"/>
      <c r="J13" s="36" t="s">
        <v>17</v>
      </c>
      <c r="K13" s="36">
        <v>8</v>
      </c>
      <c r="L13" s="51"/>
    </row>
    <row r="14" spans="1:17" x14ac:dyDescent="0.2">
      <c r="A14" s="37" t="s">
        <v>14</v>
      </c>
      <c r="B14" s="38">
        <f t="shared" ref="B14:B15" si="3">B$7*$G5/$G$7</f>
        <v>40.551724137931032</v>
      </c>
      <c r="C14" s="38">
        <f t="shared" ref="C14:F14" si="4">C$7*$G5/$G$7</f>
        <v>10.982758620689655</v>
      </c>
      <c r="D14" s="38">
        <f t="shared" si="4"/>
        <v>18.304597701149426</v>
      </c>
      <c r="E14" s="38">
        <f t="shared" si="4"/>
        <v>34.637931034482762</v>
      </c>
      <c r="F14" s="38">
        <f t="shared" si="4"/>
        <v>42.522988505747129</v>
      </c>
      <c r="I14" s="50"/>
      <c r="J14" s="36" t="s">
        <v>10</v>
      </c>
      <c r="K14" s="36">
        <f>_xlfn.CHISQ.INV.RT(K12,K13)</f>
        <v>38.180067406894963</v>
      </c>
      <c r="L14" s="51"/>
    </row>
    <row r="15" spans="1:17" x14ac:dyDescent="0.2">
      <c r="A15" s="37" t="s">
        <v>15</v>
      </c>
      <c r="B15" s="38">
        <f t="shared" si="3"/>
        <v>36.137931034482762</v>
      </c>
      <c r="C15" s="38">
        <f t="shared" ref="C15:F15" si="5">C$7*$G6/$G$7</f>
        <v>9.7873563218390807</v>
      </c>
      <c r="D15" s="38">
        <f t="shared" si="5"/>
        <v>16.312260536398469</v>
      </c>
      <c r="E15" s="38">
        <f t="shared" si="5"/>
        <v>30.867816091954023</v>
      </c>
      <c r="F15" s="38">
        <f t="shared" si="5"/>
        <v>37.894636015325673</v>
      </c>
      <c r="G15" s="1"/>
      <c r="H15" s="5"/>
      <c r="I15" s="52"/>
      <c r="J15" s="53"/>
      <c r="K15" s="53"/>
      <c r="L15" s="54"/>
    </row>
    <row r="16" spans="1:17" x14ac:dyDescent="0.2">
      <c r="A16" s="21"/>
      <c r="B16" s="20"/>
      <c r="C16" s="20"/>
      <c r="D16" s="20"/>
      <c r="E16" s="20"/>
      <c r="F16" s="20"/>
      <c r="G16" s="1"/>
      <c r="H16" s="5"/>
      <c r="I16" s="46"/>
    </row>
    <row r="17" spans="1:12" x14ac:dyDescent="0.2">
      <c r="A17" s="1"/>
      <c r="B17" s="7"/>
      <c r="C17" s="7"/>
      <c r="D17" s="7"/>
      <c r="E17" s="7"/>
      <c r="F17" s="7"/>
      <c r="G17" s="8"/>
      <c r="H17" s="5"/>
    </row>
    <row r="18" spans="1:12" x14ac:dyDescent="0.2">
      <c r="B18" s="9"/>
      <c r="C18" s="9"/>
      <c r="D18" s="9"/>
      <c r="E18" s="9"/>
      <c r="F18" s="9"/>
      <c r="G18" s="1"/>
      <c r="H18" s="5"/>
      <c r="K18" s="10"/>
    </row>
    <row r="19" spans="1:12" x14ac:dyDescent="0.2">
      <c r="A19" s="1"/>
      <c r="B19" s="11"/>
      <c r="C19" s="11"/>
      <c r="D19" s="11"/>
      <c r="E19" s="11"/>
      <c r="F19" s="11"/>
      <c r="G19" s="1"/>
      <c r="H19" s="5"/>
      <c r="K19" s="12"/>
    </row>
    <row r="20" spans="1:12" x14ac:dyDescent="0.2">
      <c r="A20" s="1"/>
      <c r="B20" s="11"/>
      <c r="C20" s="11"/>
      <c r="D20" s="11"/>
      <c r="E20" s="11"/>
      <c r="F20" s="11"/>
      <c r="G20" s="1"/>
      <c r="H20" s="5"/>
      <c r="K20" s="13"/>
      <c r="L20" s="14"/>
    </row>
    <row r="21" spans="1:12" x14ac:dyDescent="0.2">
      <c r="A21" s="1"/>
      <c r="B21" s="11"/>
      <c r="C21" s="11"/>
      <c r="D21" s="11"/>
      <c r="E21" s="11"/>
      <c r="F21" s="11"/>
      <c r="G21" s="1"/>
      <c r="H21" s="5"/>
      <c r="J21" s="15"/>
      <c r="K21" s="16"/>
      <c r="L21" s="14"/>
    </row>
    <row r="22" spans="1:12" x14ac:dyDescent="0.2">
      <c r="A22" s="1"/>
      <c r="B22" s="11"/>
      <c r="C22" s="11"/>
      <c r="D22" s="11"/>
      <c r="E22" s="11"/>
      <c r="F22" s="11"/>
      <c r="G22" s="1"/>
      <c r="H22" s="5"/>
      <c r="K22" s="16"/>
    </row>
    <row r="23" spans="1:12" x14ac:dyDescent="0.2">
      <c r="A23" s="1"/>
      <c r="B23" s="11"/>
      <c r="C23" s="11"/>
      <c r="D23" s="11"/>
      <c r="E23" s="11"/>
      <c r="F23" s="11"/>
      <c r="G23" s="1"/>
      <c r="H23" s="5"/>
    </row>
    <row r="24" spans="1:12" x14ac:dyDescent="0.2">
      <c r="A24" s="1"/>
      <c r="B24" s="11"/>
      <c r="C24" s="11"/>
      <c r="D24" s="11"/>
      <c r="E24" s="11"/>
      <c r="F24" s="11"/>
      <c r="G24" s="1"/>
      <c r="H24" s="5"/>
    </row>
    <row r="25" spans="1:12" x14ac:dyDescent="0.2">
      <c r="B25" s="9"/>
      <c r="C25" s="9"/>
      <c r="D25" s="9"/>
      <c r="E25" s="9"/>
      <c r="F25" s="9"/>
      <c r="G25" s="1"/>
      <c r="H25" s="5"/>
    </row>
    <row r="26" spans="1:12" x14ac:dyDescent="0.2">
      <c r="A26" s="1"/>
      <c r="B26" s="11"/>
      <c r="C26" s="11"/>
      <c r="D26" s="11"/>
      <c r="E26" s="11"/>
      <c r="F26" s="11"/>
      <c r="G26" s="1"/>
      <c r="H26" s="5"/>
    </row>
    <row r="27" spans="1:12" x14ac:dyDescent="0.2">
      <c r="A27" s="1"/>
      <c r="B27" s="11"/>
      <c r="C27" s="11"/>
      <c r="D27" s="11"/>
      <c r="E27" s="11"/>
      <c r="F27" s="11"/>
      <c r="G27" s="1"/>
      <c r="H27" s="5"/>
    </row>
    <row r="28" spans="1:12" x14ac:dyDescent="0.2">
      <c r="A28" s="1"/>
      <c r="B28" s="11"/>
      <c r="C28" s="11"/>
      <c r="D28" s="11"/>
      <c r="E28" s="11"/>
      <c r="F28" s="11"/>
      <c r="G28" s="1"/>
      <c r="H28" s="5"/>
    </row>
    <row r="29" spans="1:12" x14ac:dyDescent="0.2">
      <c r="A29" s="1"/>
      <c r="B29" s="11"/>
      <c r="C29" s="11"/>
      <c r="D29" s="11"/>
      <c r="E29" s="11"/>
      <c r="F29" s="11"/>
      <c r="G29" s="1"/>
      <c r="H29" s="5"/>
    </row>
    <row r="30" spans="1:12" x14ac:dyDescent="0.2">
      <c r="A30" s="1"/>
      <c r="G30" s="1"/>
      <c r="H30" s="5"/>
    </row>
    <row r="31" spans="1:12" x14ac:dyDescent="0.2">
      <c r="A31" s="1"/>
      <c r="G31" s="8"/>
      <c r="H31" s="5"/>
    </row>
    <row r="32" spans="1:12" x14ac:dyDescent="0.2">
      <c r="B32" s="9"/>
      <c r="C32" s="9"/>
      <c r="D32" s="9"/>
      <c r="E32" s="9"/>
      <c r="F32" s="9"/>
    </row>
    <row r="33" spans="1:14" x14ac:dyDescent="0.2">
      <c r="A33" s="1"/>
      <c r="B33" s="11"/>
      <c r="C33" s="11"/>
      <c r="D33" s="11"/>
      <c r="E33" s="11"/>
      <c r="F33" s="11"/>
    </row>
    <row r="34" spans="1:14" x14ac:dyDescent="0.2">
      <c r="A34" s="1"/>
      <c r="B34" s="11"/>
      <c r="C34" s="11"/>
      <c r="D34" s="11"/>
      <c r="E34" s="11"/>
      <c r="F34" s="11"/>
    </row>
    <row r="35" spans="1:14" x14ac:dyDescent="0.2">
      <c r="A35" s="1"/>
      <c r="B35" s="11"/>
      <c r="C35" s="11"/>
      <c r="D35" s="11"/>
      <c r="E35" s="11"/>
      <c r="F35" s="11"/>
    </row>
    <row r="36" spans="1:14" x14ac:dyDescent="0.2">
      <c r="A36" s="1"/>
      <c r="B36" s="11"/>
      <c r="C36" s="11"/>
      <c r="D36" s="11"/>
      <c r="E36" s="11"/>
      <c r="F36" s="11"/>
      <c r="N36" s="4"/>
    </row>
    <row r="37" spans="1:14" x14ac:dyDescent="0.2">
      <c r="N37" s="4"/>
    </row>
    <row r="38" spans="1:14" x14ac:dyDescent="0.2">
      <c r="G38" s="7"/>
      <c r="N38" s="4"/>
    </row>
    <row r="39" spans="1:14" x14ac:dyDescent="0.2">
      <c r="N39" s="4"/>
    </row>
    <row r="40" spans="1:14" x14ac:dyDescent="0.2">
      <c r="N40" s="4"/>
    </row>
    <row r="41" spans="1:14" x14ac:dyDescent="0.2">
      <c r="N41" s="4"/>
    </row>
    <row r="42" spans="1:14" x14ac:dyDescent="0.2">
      <c r="J42" s="10"/>
      <c r="N42" s="4"/>
    </row>
    <row r="43" spans="1:14" x14ac:dyDescent="0.2">
      <c r="J43" s="12"/>
      <c r="N43" s="4"/>
    </row>
    <row r="44" spans="1:14" x14ac:dyDescent="0.2">
      <c r="J44" s="13"/>
      <c r="N44" s="4"/>
    </row>
    <row r="45" spans="1:14" x14ac:dyDescent="0.2">
      <c r="N45" s="4"/>
    </row>
    <row r="46" spans="1:14" x14ac:dyDescent="0.2">
      <c r="C46" s="17"/>
      <c r="J46" s="16"/>
      <c r="N46" s="4"/>
    </row>
    <row r="47" spans="1:14" x14ac:dyDescent="0.2">
      <c r="N47" s="4"/>
    </row>
    <row r="48" spans="1:14" x14ac:dyDescent="0.2">
      <c r="N48" s="4"/>
    </row>
    <row r="49" spans="10:14" x14ac:dyDescent="0.2">
      <c r="N49" s="4"/>
    </row>
    <row r="50" spans="10:14" x14ac:dyDescent="0.2">
      <c r="N50" s="4"/>
    </row>
    <row r="51" spans="10:14" x14ac:dyDescent="0.2">
      <c r="N51" s="4"/>
    </row>
    <row r="52" spans="10:14" x14ac:dyDescent="0.2">
      <c r="N52" s="4"/>
    </row>
    <row r="53" spans="10:14" x14ac:dyDescent="0.2">
      <c r="J53" s="18"/>
      <c r="N53" s="4"/>
    </row>
    <row r="54" spans="10:14" x14ac:dyDescent="0.2">
      <c r="N54" s="4"/>
    </row>
    <row r="55" spans="10:14" x14ac:dyDescent="0.2">
      <c r="J55" s="4"/>
      <c r="N55" s="4"/>
    </row>
    <row r="56" spans="10:14" x14ac:dyDescent="0.2">
      <c r="N56" s="4"/>
    </row>
    <row r="57" spans="10:14" x14ac:dyDescent="0.2">
      <c r="N57" s="4"/>
    </row>
    <row r="61" spans="10:14" x14ac:dyDescent="0.2">
      <c r="J61" s="19"/>
    </row>
  </sheetData>
  <mergeCells count="7">
    <mergeCell ref="B2:F2"/>
    <mergeCell ref="A2:A3"/>
    <mergeCell ref="A11:A12"/>
    <mergeCell ref="B11:F11"/>
    <mergeCell ref="I1:L1"/>
    <mergeCell ref="I10:L10"/>
    <mergeCell ref="B10:F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van der Laken</dc:creator>
  <cp:lastModifiedBy>Riyas Ahammed</cp:lastModifiedBy>
  <dcterms:created xsi:type="dcterms:W3CDTF">2022-04-29T12:42:33Z</dcterms:created>
  <dcterms:modified xsi:type="dcterms:W3CDTF">2026-06-08T10:21:42Z</dcterms:modified>
</cp:coreProperties>
</file>